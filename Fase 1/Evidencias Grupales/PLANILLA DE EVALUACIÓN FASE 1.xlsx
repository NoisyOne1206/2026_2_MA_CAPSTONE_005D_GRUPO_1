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1\"/>
    </mc:Choice>
  </mc:AlternateContent>
  <xr:revisionPtr revIDLastSave="0" documentId="13_ncr:1_{19C35935-992E-4476-9CE3-17723AEC70AC}"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D15" i="1"/>
  <c r="E15" i="1" s="1"/>
  <c r="D16" i="1"/>
  <c r="E16" i="1" s="1"/>
  <c r="E18" i="1"/>
  <c r="E22" i="1"/>
  <c r="F20" i="1"/>
  <c r="G20" i="1" s="1"/>
  <c r="F21" i="1"/>
  <c r="G21" i="1" s="1"/>
  <c r="C57" i="1" l="1"/>
  <c r="C46" i="1"/>
  <c r="D5" i="1" s="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<sst xmlns="http://schemas.openxmlformats.org/spreadsheetml/2006/main" count="162" uniqueCount="99">
  <si>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</si>
  <si>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</si>
  <si>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</si>
  <si>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</si>
  <si>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</si>
  <si>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</si>
  <si>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</si>
  <si>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</si>
  <si>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</si>
  <si>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</si>
  <si>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</si>
  <si>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</si>
  <si>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</si>
  <si>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</si>
  <si>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</si>
  <si>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</si>
  <si>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</si>
  <si>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</si>
  <si>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</si>
  <si>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</si>
  <si>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</si>
  <si>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</si>
  <si>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</si>
  <si>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</si>
  <si>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</si>
  <si>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</si>
  <si>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</si>
  <si>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</si>
  <si>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</si>
  <si>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</si>
  <si>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</si>
  <si>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</si>
  <si>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</si>
  <si>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</si>
  <si>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</si>
  <si>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</si>
  <si>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</si>
  <si>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</si>
  <si>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</si>
  <si>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</si>
  <si>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</si>
  <si>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</si>
  <si>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</si>
  <si>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</si>
  <si>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</si>
  <si>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</si>
  <si>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</si>
  <si>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</si>
  <si>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</si>
  <si>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</si>
  <si>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</si>
  <si>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</si>
  <si>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</si>
  <si>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</si>
  <si>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</si>
  <si>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</si>
  <si>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</si>
  <si>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</si>
  <si>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</si>
  <si>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</si>
  <si>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</si>
  <si>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</si>
  <si>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</si>
  <si>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</si>
  <si>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</si>
  <si>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</si>
  <si>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</si>
  <si>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</si>
  <si>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</si>
  <si>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</si>
  <si>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</si>
  <si>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</si>
  <si>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</si>
  <si>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</si>
  <si>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</si>
  <si>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</si>
  <si>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</si>
  <si>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</si>
  <si>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</si>
  <si>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</si>
  <si>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</si>
  <si>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</si>
  <si>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</si>
  <si>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</si>
  <si>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</si>
  <si>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</si>
  <si>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</si>
  <si>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</si>
  <si>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</si>
  <si>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</si>
  <si>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</si>
  <si>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</si>
  <si>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</si>
  <si>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</si>
  <si>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</si>
  <si>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FAVIO ADOLFO PEREZ CHANQUEO</t>
  </si>
  <si>
    <t>FERNANDO ROSAMEL ALMONACID AGUILAR</t>
  </si>
  <si>
    <t>BASTIAN HERNAN BERRIOS CRUZ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</si>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</sst>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B1" sqref="B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5.3</v>
      </c>
      <c r="D4" s="6">
        <f>$C$35</f>
        <v>7</v>
      </c>
      <c r="E4" s="43">
        <f>C4*C$2+D4*D$2</f>
        <v>5.7249999999999996</v>
      </c>
      <c r="G4" s="1"/>
    </row>
    <row r="5" spans="1:11" x14ac:dyDescent="0.25">
      <c r="A5" s="5">
        <v>2</v>
      </c>
      <c r="B5" s="32" t="s">
        <v>96</v>
      </c>
      <c r="C5" s="6">
        <f>EVALUACION1!$C$24</f>
        <v>5.3</v>
      </c>
      <c r="D5" s="6">
        <f>C47</f>
        <v>7</v>
      </c>
      <c r="E5" s="43">
        <f t="shared" ref="E5" si="0">C5*C$2+D5*D$2</f>
        <v>5.7249999999999996</v>
      </c>
      <c r="G5" s="1"/>
    </row>
    <row r="6" spans="1:11" x14ac:dyDescent="0.25">
      <c r="A6" s="5">
        <v>3</v>
      </c>
      <c r="B6" s="32" t="s">
        <v>97</v>
      </c>
      <c r="C6" s="6">
        <f>EVALUACION1!$C$24</f>
        <v>5.3</v>
      </c>
      <c r="D6" s="6">
        <v>7</v>
      </c>
      <c r="E6" s="43">
        <f t="shared" ref="E6" si="1">C6*C$2+D6*D$2</f>
        <v>5.7249999999999996</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c r="E13" s="16" t="str">
        <f>IF(D13="X",100*0.1,"")</f>
        <v/>
      </c>
      <c r="F13" s="16" t="s">
        <v>98</v>
      </c>
      <c r="G13" s="16">
        <f>IF(F13="X",60*0.1,"")</f>
        <v>6</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98</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tr">
        <f t="shared" ref="D13:D16" si="8">IF($C15=CL,"X","")</f>
        <v>X</v>
      </c>
      <c r="E15" s="16">
        <f t="shared" ref="E15:E21" si="9">IF(D15="X",100*0.05,"")</f>
        <v>5</v>
      </c>
      <c r="F15" s="16" t="str">
        <f t="shared" ref="F13:F16" si="10">IF($C15=L,"X","")</f>
        <v/>
      </c>
      <c r="G15" s="16" t="str">
        <f t="shared" ref="G15:G21" si="11">IF(F15="X",60*0.05,"")</f>
        <v/>
      </c>
      <c r="H15" s="16" t="str">
        <f t="shared" si="2"/>
        <v/>
      </c>
      <c r="I15" s="16" t="str">
        <f t="shared" ref="I15:I21" si="12">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tr">
        <f t="shared" si="8"/>
        <v>X</v>
      </c>
      <c r="E16" s="16">
        <f>IF(D16="X",100*0.05,"")</f>
        <v>5</v>
      </c>
      <c r="F16" s="16" t="str">
        <f t="shared" si="10"/>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3">IF($C17=CL,"X","")</f>
        <v>X</v>
      </c>
      <c r="E17" s="16"/>
      <c r="F17" s="16" t="s">
        <v>98</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9">IF(D18="X",100*0.1,"")</f>
        <v/>
      </c>
      <c r="F18" s="16" t="s">
        <v>98</v>
      </c>
      <c r="G18" s="16">
        <f t="shared" ref="G18" si="20">IF(F18="X",60*0.1,"")</f>
        <v>6</v>
      </c>
      <c r="H18" s="16" t="str">
        <f t="shared" si="15"/>
        <v/>
      </c>
      <c r="I18" s="16" t="str">
        <f t="shared" ref="I18" si="21">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t="str">
        <f t="shared" si="13"/>
        <v>X</v>
      </c>
      <c r="E19" s="16">
        <f>IF(D19="X",100*0.05,"")</f>
        <v>5</v>
      </c>
      <c r="F19" s="16" t="str">
        <f t="shared" ref="F17:F22" si="22">IF($C19=L,"X","")</f>
        <v/>
      </c>
      <c r="G19" s="16" t="str">
        <f t="shared" ref="G19" si="23">IF(F19="X",60*0.05,"")</f>
        <v/>
      </c>
      <c r="H19" s="16" t="str">
        <f t="shared" si="15"/>
        <v/>
      </c>
      <c r="I19" s="16" t="str">
        <f t="shared" ref="I19" si="24">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22"/>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3"/>
        <v>X</v>
      </c>
      <c r="E21" s="16">
        <f t="shared" si="9"/>
        <v>5</v>
      </c>
      <c r="F21" s="16" t="str">
        <f t="shared" si="22"/>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98</v>
      </c>
      <c r="G22" s="16">
        <f>IF(F22="X",60*0.1,"")</f>
        <v>6</v>
      </c>
      <c r="H22" s="16" t="str">
        <f t="shared" si="15"/>
        <v/>
      </c>
      <c r="I22" s="16" t="str">
        <f>IF(H22="X",30*0.1,"")</f>
        <v/>
      </c>
      <c r="J22" s="16" t="str">
        <f t="shared" si="17"/>
        <v/>
      </c>
      <c r="K22" s="16" t="str">
        <f t="shared" si="18"/>
        <v/>
      </c>
    </row>
    <row r="23" spans="1:11" ht="15.75" customHeight="1" outlineLevel="1" x14ac:dyDescent="0.3">
      <c r="A23" s="61"/>
      <c r="B23" s="34" t="s">
        <v>11</v>
      </c>
      <c r="C23" s="37">
        <f>E23+G23+I23+K23</f>
        <v>54</v>
      </c>
      <c r="D23" s="19"/>
      <c r="E23" s="19">
        <f>SUM(E13:E22)</f>
        <v>30</v>
      </c>
      <c r="F23" s="19"/>
      <c r="G23" s="19">
        <f>SUM(G13:G22)</f>
        <v>24</v>
      </c>
      <c r="H23" s="19"/>
      <c r="I23" s="19">
        <f>SUM(I13:I22)</f>
        <v>0</v>
      </c>
      <c r="J23" s="19"/>
      <c r="K23" s="19">
        <f>SUM(K13:K22)</f>
        <v>0</v>
      </c>
    </row>
    <row r="24" spans="1:11" ht="15.75" customHeight="1" outlineLevel="1" x14ac:dyDescent="0.3">
      <c r="A24" s="50"/>
      <c r="B24" s="36" t="s">
        <v>12</v>
      </c>
      <c r="C24" s="20">
        <f>VLOOKUP(C23,ESCALA_IEP!A2:B142,2,FALSE)</f>
        <v>5.3</v>
      </c>
    </row>
    <row r="25" spans="1:11" ht="15.75" customHeight="1" x14ac:dyDescent="0.25"/>
    <row r="26" spans="1:11" ht="15.75" customHeight="1" x14ac:dyDescent="0.25"/>
    <row r="27" spans="1:11" ht="15.75" customHeight="1" x14ac:dyDescent="0.25">
      <c r="A27" s="60" t="s">
        <v>13</v>
      </c>
      <c r="B27" s="49" t="s">
        <v>14</v>
      </c>
      <c r="C27" s="52" t="str">
        <f>$B$4</f>
        <v>FAVIO ADOLFO PEREZ CHANQUEO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FERNANDO ROSAMEL ALMONACID AGUILAR</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BASTIAN HERNAN BERRIOS CRUZ</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2026-09-09T23:37:59Z</dcterms:modified>
  <cp:category/>
  <cp:contentStatus/>
</cp:coreProperties>
</file>